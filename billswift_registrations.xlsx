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hidePivotFieldList="1"/>
  <mc:AlternateContent xmlns:mc="http://schemas.openxmlformats.org/markup-compatibility/2006">
    <mc:Choice Requires="x15">
      <x15ac:absPath xmlns:x15ac="http://schemas.microsoft.com/office/spreadsheetml/2010/11/ac" url="/Users/praveen/Desktop/Job Related/Praveen Project/Python Files/"/>
    </mc:Choice>
  </mc:AlternateContent>
  <xr:revisionPtr revIDLastSave="0" documentId="13_ncr:1_{0A713DC7-D697-D942-B917-C474BEB40B2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Industry Distribution" sheetId="2" r:id="rId1"/>
    <sheet name="Lead Distribution" sheetId="3" r:id="rId2"/>
    <sheet name="Registrations" sheetId="1" r:id="rId3"/>
  </sheets>
  <calcPr calcId="0"/>
  <pivotCaches>
    <pivotCache cacheId="14" r:id="rId4"/>
  </pivotCaches>
</workbook>
</file>

<file path=xl/sharedStrings.xml><?xml version="1.0" encoding="utf-8"?>
<sst xmlns="http://schemas.openxmlformats.org/spreadsheetml/2006/main" count="208" uniqueCount="125">
  <si>
    <t>Timestamp</t>
  </si>
  <si>
    <t>Name</t>
  </si>
  <si>
    <t>Email</t>
  </si>
  <si>
    <t>Company Name</t>
  </si>
  <si>
    <t>Company Domain</t>
  </si>
  <si>
    <t>Industry</t>
  </si>
  <si>
    <t>Industry Other</t>
  </si>
  <si>
    <t>Company Size</t>
  </si>
  <si>
    <t>Monthly Transaction Volume</t>
  </si>
  <si>
    <t>Primary Revenue Challenge</t>
  </si>
  <si>
    <t>Current Billing Solution</t>
  </si>
  <si>
    <t>Heard From</t>
  </si>
  <si>
    <t>Lead Score</t>
  </si>
  <si>
    <t>Lead Tier</t>
  </si>
  <si>
    <t>HubSpot Contact ID</t>
  </si>
  <si>
    <t>HubSpot Company ID</t>
  </si>
  <si>
    <t>Predicted Revenue</t>
  </si>
  <si>
    <t>2026-07-01 19:41:14 UTC</t>
  </si>
  <si>
    <t>Praveen Sam</t>
  </si>
  <si>
    <t>praven.dune@gmail.com</t>
  </si>
  <si>
    <t>Prvn Tech</t>
  </si>
  <si>
    <t>Personal Email</t>
  </si>
  <si>
    <t>edtech</t>
  </si>
  <si>
    <t>201-1000</t>
  </si>
  <si>
    <t>250k-1m</t>
  </si>
  <si>
    <t>manual-invoicing</t>
  </si>
  <si>
    <t>stripe-paypal</t>
  </si>
  <si>
    <t>google</t>
  </si>
  <si>
    <t>Warm</t>
  </si>
  <si>
    <t>512445053670</t>
  </si>
  <si>
    <t>331523832506</t>
  </si>
  <si>
    <t>2026-07-01 19:44:03 UTC</t>
  </si>
  <si>
    <t>Sarah Chen</t>
  </si>
  <si>
    <t>sarah@vertexai.io</t>
  </si>
  <si>
    <t>Vertex Ai</t>
  </si>
  <si>
    <t>vertexai.io</t>
  </si>
  <si>
    <t>ecommerce</t>
  </si>
  <si>
    <t>50k-250k</t>
  </si>
  <si>
    <t>usage-metering</t>
  </si>
  <si>
    <t>in-house</t>
  </si>
  <si>
    <t>newsletter</t>
  </si>
  <si>
    <t>512485412571</t>
  </si>
  <si>
    <t>331570543310</t>
  </si>
  <si>
    <t>2026-07-01 19:44:42 UTC</t>
  </si>
  <si>
    <t>David Ross</t>
  </si>
  <si>
    <t>dross@saasflow.com</t>
  </si>
  <si>
    <t>Saasflow</t>
  </si>
  <si>
    <t>saasflow.com</t>
  </si>
  <si>
    <t>proptech-iot</t>
  </si>
  <si>
    <t>partner</t>
  </si>
  <si>
    <t>Hot</t>
  </si>
  <si>
    <t>512443429591</t>
  </si>
  <si>
    <t>331538333406</t>
  </si>
  <si>
    <t>2026-07-01 19:45:21 UTC</t>
  </si>
  <si>
    <t>Elena Rostova</t>
  </si>
  <si>
    <t>elena@cybercore.net</t>
  </si>
  <si>
    <t>Cybercore</t>
  </si>
  <si>
    <t>cybercore.net</t>
  </si>
  <si>
    <t>fintech</t>
  </si>
  <si>
    <t>11-50</t>
  </si>
  <si>
    <t>10m+</t>
  </si>
  <si>
    <t>research</t>
  </si>
  <si>
    <t>512455021282</t>
  </si>
  <si>
    <t>331493218004</t>
  </si>
  <si>
    <t>2026-07-01 19:46:15 UTC</t>
  </si>
  <si>
    <t>ai-cloud</t>
  </si>
  <si>
    <t>legacy-enterprise</t>
  </si>
  <si>
    <t>referral</t>
  </si>
  <si>
    <t>2026-07-01 19:46:51 UTC</t>
  </si>
  <si>
    <t>Marcus Vance</t>
  </si>
  <si>
    <t>marcus@paybolt.finance</t>
  </si>
  <si>
    <t>Paybolt</t>
  </si>
  <si>
    <t>paybolt.finance</t>
  </si>
  <si>
    <t>51-200</t>
  </si>
  <si>
    <t>1m-10m</t>
  </si>
  <si>
    <t>512380178132</t>
  </si>
  <si>
    <t>331547552472</t>
  </si>
  <si>
    <t>2026-07-01 19:47:35 UTC</t>
  </si>
  <si>
    <t>Chloe Tanaka</t>
  </si>
  <si>
    <t>c.tanaka@edulearn.co</t>
  </si>
  <si>
    <t>Edulearn</t>
  </si>
  <si>
    <t>edulearn.co</t>
  </si>
  <si>
    <t>1-10</t>
  </si>
  <si>
    <t>under-50k</t>
  </si>
  <si>
    <t>rev-recognition</t>
  </si>
  <si>
    <t>512358729408</t>
  </si>
  <si>
    <t>331471749879</t>
  </si>
  <si>
    <t>2026-07-01 19:48:48 UTC</t>
  </si>
  <si>
    <t>Liam O'Connor</t>
  </si>
  <si>
    <t>liam@streamvibe.tv</t>
  </si>
  <si>
    <t>Streamvib</t>
  </si>
  <si>
    <t>streamvibe.tv</t>
  </si>
  <si>
    <t>digital-media</t>
  </si>
  <si>
    <t>none-manual</t>
  </si>
  <si>
    <t>other</t>
  </si>
  <si>
    <t>512421471982</t>
  </si>
  <si>
    <t>331545854688</t>
  </si>
  <si>
    <t>2026-07-01 19:49:26 UTC</t>
  </si>
  <si>
    <t>Amara Okafor</t>
  </si>
  <si>
    <t>a.okafor@nexthome.io</t>
  </si>
  <si>
    <t>Nexthome Iot</t>
  </si>
  <si>
    <t>nexthome.io</t>
  </si>
  <si>
    <t>linkedin</t>
  </si>
  <si>
    <t>512351946474</t>
  </si>
  <si>
    <t>331532925671</t>
  </si>
  <si>
    <t>2026-07-01 19:50:03 UTC</t>
  </si>
  <si>
    <t>Jacob Miller</t>
  </si>
  <si>
    <t>jmiller@biotrack.org</t>
  </si>
  <si>
    <t>Biotrack</t>
  </si>
  <si>
    <t>biotrack.org</t>
  </si>
  <si>
    <t>1000+</t>
  </si>
  <si>
    <t>512445072117</t>
  </si>
  <si>
    <t>331495018176</t>
  </si>
  <si>
    <t>2026-07-01 19:55:10 UTC</t>
  </si>
  <si>
    <t>Pratheesh</t>
  </si>
  <si>
    <t>praveensoff@gmail.com</t>
  </si>
  <si>
    <t>Pt Soft</t>
  </si>
  <si>
    <t>modern-platform</t>
  </si>
  <si>
    <t>512387512028</t>
  </si>
  <si>
    <t>Row Labels</t>
  </si>
  <si>
    <t>Grand Total</t>
  </si>
  <si>
    <t>Sum of Predicted Revenue</t>
  </si>
  <si>
    <t>Count of Email</t>
  </si>
  <si>
    <t>Cold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</si>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</sst>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[billswift_registrations.xlsx]Industry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Where to Invest — Predicted Revenue by Industry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'Industry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'Industry Distribution'!$A$2:$A$9</c:f>
              <c:strCache>
                <c:ptCount val="7"/>
                <c:pt idx="0">
                  <c:v>ai-cloud</c:v>
                </c:pt>
                <c:pt idx="1">
                  <c:v>proptech-iot</c:v>
                </c:pt>
                <c:pt idx="2">
                  <c:v>ecommerce</c:v>
                </c:pt>
                <c:pt idx="3">
                  <c:v>edtech</c:v>
                </c:pt>
                <c:pt idx="4">
                  <c:v>digital-media</c:v>
                </c:pt>
                <c:pt idx="5">
                  <c:v>fintech</c:v>
                </c:pt>
                <c:pt idx="6">
                  <c:v>(blank)</c:v>
                </c:pt>
              </c:strCache>
            </c:strRef>
          </c:cat>
          <c:val>
            <c:numRef>
              <c:f>'Industry Distribution'!$B$2:$B$9</c:f>
              <c:numCache>
                <c:formatCode>General</c:formatCode>
                <c:ptCount val="7"/>
                <c:pt idx="0">
                  <c:v>487959.43000000005</c:v>
                </c:pt>
                <c:pt idx="1">
                  <c:v>465304.23</c:v>
                </c:pt>
                <c:pt idx="2">
                  <c:v>384873.06999999995</c:v>
                </c:pt>
                <c:pt idx="3">
                  <c:v>333160.34999999998</c:v>
                </c:pt>
                <c:pt idx="4">
                  <c:v>238010.85</c:v>
                </c:pt>
                <c:pt idx="5">
                  <c:v>184046.07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1-7147-AAA0-FE66127C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93963136"/>
        <c:axId val="1993964784"/>
      </c:barChart>
      <c:catAx>
        <c:axId val="19939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64784"/>
        <c:crosses val="autoZero"/>
        <c:auto val="1"/>
        <c:lblAlgn val="ctr"/>
        <c:lblOffset val="100"/>
        <c:noMultiLvlLbl val="0"/>
      </c:catAx>
      <c:valAx>
        <c:axId val="199396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[billswift_registrations.xlsx]Industry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Reach — Lead Volume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'Industry Distribution'!$B$19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'Industry Distribution'!$A$20:$A$27</c:f>
              <c:strCache>
                <c:ptCount val="7"/>
                <c:pt idx="0">
                  <c:v>ai-cloud</c:v>
                </c:pt>
                <c:pt idx="1">
                  <c:v>digital-media</c:v>
                </c:pt>
                <c:pt idx="2">
                  <c:v>ecommerce</c:v>
                </c:pt>
                <c:pt idx="3">
                  <c:v>edtech</c:v>
                </c:pt>
                <c:pt idx="4">
                  <c:v>fintech</c:v>
                </c:pt>
                <c:pt idx="5">
                  <c:v>proptech-iot</c:v>
                </c:pt>
                <c:pt idx="6">
                  <c:v>(blank)</c:v>
                </c:pt>
              </c:strCache>
            </c:strRef>
          </c:cat>
          <c:val>
            <c:numRef>
              <c:f>'Industry Distribution'!$B$20:$B$27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F-5540-8420-DC805CA44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97106496"/>
        <c:axId val="297108144"/>
      </c:barChart>
      <c:catAx>
        <c:axId val="29710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08144"/>
        <c:crosses val="autoZero"/>
        <c:auto val="1"/>
        <c:lblAlgn val="ctr"/>
        <c:lblOffset val="100"/>
        <c:noMultiLvlLbl val="0"/>
      </c:catAx>
      <c:valAx>
        <c:axId val="29710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0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[billswift_registrations.xlsx]Lead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 Distribution — Volume by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'Lead Distribution'!$A$2:$A$5</c:f>
              <c:strCache>
                <c:ptCount val="3"/>
                <c:pt idx="0">
                  <c:v>Hot</c:v>
                </c:pt>
                <c:pt idx="1">
                  <c:v>Warm</c:v>
                </c:pt>
                <c:pt idx="2">
                  <c:v>Cold</c:v>
                </c:pt>
              </c:strCache>
            </c:strRef>
          </c:cat>
          <c:val>
            <c:numRef>
              <c:f>'Lead Distribution'!$B$2:$B$5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D2-A047-A868-80E581537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62550176"/>
        <c:axId val="962196240"/>
      </c:barChart>
      <c:catAx>
        <c:axId val="9625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96240"/>
        <c:crosses val="autoZero"/>
        <c:auto val="1"/>
        <c:lblAlgn val="ctr"/>
        <c:lblOffset val="100"/>
        <c:noMultiLvlLbl val="0"/>
      </c:catAx>
      <c:valAx>
        <c:axId val="96219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5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[billswift_registrations.xlsx]Lead Distribution!PivotTable4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Pipeline Urgency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 Distribution'!$B$18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'Lead Distribution'!$A$19:$A$26</c:f>
              <c:strCache>
                <c:ptCount val="7"/>
                <c:pt idx="0">
                  <c:v>ai-cloud</c:v>
                </c:pt>
                <c:pt idx="1">
                  <c:v>digital-media</c:v>
                </c:pt>
                <c:pt idx="2">
                  <c:v>ecommerce</c:v>
                </c:pt>
                <c:pt idx="3">
                  <c:v>edtech</c:v>
                </c:pt>
                <c:pt idx="4">
                  <c:v>fintech</c:v>
                </c:pt>
                <c:pt idx="5">
                  <c:v>proptech-iot</c:v>
                </c:pt>
                <c:pt idx="6">
                  <c:v>(blank)</c:v>
                </c:pt>
              </c:strCache>
            </c:strRef>
          </c:cat>
          <c:val>
            <c:numRef>
              <c:f>'Lead Distribution'!$B$19:$B$26</c:f>
              <c:numCache>
                <c:formatCode>General</c:formatCode>
                <c:ptCount val="7"/>
                <c:pt idx="0">
                  <c:v>487959.43000000005</c:v>
                </c:pt>
                <c:pt idx="1">
                  <c:v>238010.85</c:v>
                </c:pt>
                <c:pt idx="2">
                  <c:v>384873.06999999995</c:v>
                </c:pt>
                <c:pt idx="3">
                  <c:v>333160.34999999998</c:v>
                </c:pt>
                <c:pt idx="4">
                  <c:v>184046.07</c:v>
                </c:pt>
                <c:pt idx="5">
                  <c:v>465304.23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9-D84D-8BB0-A84B2700B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84969408"/>
        <c:axId val="1070654704"/>
      </c:barChart>
      <c:catAx>
        <c:axId val="98496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54704"/>
        <c:crosses val="autoZero"/>
        <c:auto val="1"/>
        <c:lblAlgn val="ctr"/>
        <c:lblOffset val="100"/>
        <c:noMultiLvlLbl val="0"/>
      </c:catAx>
      <c:valAx>
        <c:axId val="107065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0</xdr:rowOff>
    </xdr:from>
    <xdr:to>
      <xdr:col>7</xdr:col>
      <xdr:colOff>711200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53511-DE48-044F-BF18-163FD900D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17</xdr:row>
      <xdr:rowOff>171450</xdr:rowOff>
    </xdr:from>
    <xdr:to>
      <xdr:col>7</xdr:col>
      <xdr:colOff>768350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0852F8-B094-F34E-8CE2-509F23834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0</xdr:row>
      <xdr:rowOff>25400</xdr:rowOff>
    </xdr:from>
    <xdr:to>
      <xdr:col>7</xdr:col>
      <xdr:colOff>736600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6915C-FFAF-2340-A1EE-71D45F832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16</xdr:row>
      <xdr:rowOff>171450</xdr:rowOff>
    </xdr:from>
    <xdr:to>
      <xdr:col>8</xdr:col>
      <xdr:colOff>660400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8895B8-71C0-D74C-A94A-FB716DD45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05.096192476849" createdVersion="7" refreshedVersion="7" minRefreshableVersion="3" recordCount="12" xr:uid="{A8F2CF24-E783-364B-95CB-1FD3BFE0D7D7}">
  <cacheSource type="worksheet">
    <worksheetSource name="Table1"/>
  </cacheSource>
  <cacheFields count="17">
    <cacheField name="Timestamp" numFmtId="0">
      <sharedItems containsBlank="1"/>
    </cacheField>
    <cacheField name="Name" numFmtId="0">
      <sharedItems containsBlank="1"/>
    </cacheField>
    <cacheField name="Email" numFmtId="0">
      <sharedItems containsBlank="1" count="11">
        <s v="praven.dune@gmail.com"/>
        <s v="sarah@vertexai.io"/>
        <s v="dross@saasflow.com"/>
        <s v="elena@cybercore.net"/>
        <s v="marcus@paybolt.finance"/>
        <s v="c.tanaka@edulearn.co"/>
        <s v="liam@streamvibe.tv"/>
        <s v="a.okafor@nexthome.io"/>
        <s v="jmiller@biotrack.org"/>
        <s v="praveensoff@gmail.com"/>
        <m/>
      </sharedItems>
    </cacheField>
    <cacheField name="Company Name" numFmtId="0">
      <sharedItems containsBlank="1"/>
    </cacheField>
    <cacheField name="Company Domain" numFmtId="0">
      <sharedItems containsBlank="1"/>
    </cacheField>
    <cacheField name="Industry" numFmtId="0">
      <sharedItems containsBlank="1" count="7">
        <s v="edtech"/>
        <s v="ecommerce"/>
        <s v="proptech-iot"/>
        <s v="fintech"/>
        <s v="ai-cloud"/>
        <s v="digital-media"/>
        <m/>
      </sharedItems>
    </cacheField>
    <cacheField name="Industry Other" numFmtId="0">
      <sharedItems containsNonDate="0" containsString="0" containsBlank="1"/>
    </cacheField>
    <cacheField name="Company Size" numFmtId="0">
      <sharedItems containsBlank="1"/>
    </cacheField>
    <cacheField name="Monthly Transaction Volume" numFmtId="0">
      <sharedItems containsBlank="1"/>
    </cacheField>
    <cacheField name="Primary Revenue Challenge" numFmtId="0">
      <sharedItems containsBlank="1"/>
    </cacheField>
    <cacheField name="Current Billing Solution" numFmtId="0">
      <sharedItems containsBlank="1"/>
    </cacheField>
    <cacheField name="Heard From" numFmtId="0">
      <sharedItems containsBlank="1"/>
    </cacheField>
    <cacheField name="Lead Score" numFmtId="0">
      <sharedItems containsString="0" containsBlank="1" containsNumber="1" containsInteger="1" minValue="45" maxValue="75"/>
    </cacheField>
    <cacheField name="Lead Tier" numFmtId="0">
      <sharedItems count="3">
        <s v="Warm"/>
        <s v="Hot"/>
        <s v="Cold"/>
      </sharedItems>
    </cacheField>
    <cacheField name="HubSpot Contact ID" numFmtId="0">
      <sharedItems containsBlank="1"/>
    </cacheField>
    <cacheField name="HubSpot Company ID" numFmtId="0">
      <sharedItems containsBlank="1"/>
    </cacheField>
    <cacheField name="Predicted Revenue" numFmtId="0">
      <sharedItems containsString="0" containsBlank="1" containsNumber="1" minValue="126484.07" maxValue="271457.61" count="12">
        <n v="152837.29999999999"/>
        <n v="227257.99"/>
        <n v="271457.61"/>
        <n v="184046.07"/>
        <n v="126484.07"/>
        <n v="157615.07999999999"/>
        <n v="180323.05"/>
        <n v="238010.85"/>
        <n v="193846.62"/>
        <n v="171892.2"/>
        <n v="189583.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2026-07-01 19:41:14 UTC"/>
    <s v="Praveen Sam"/>
    <x v="0"/>
    <s v="Prvn Tech"/>
    <s v="Personal Email"/>
    <x v="0"/>
    <m/>
    <s v="201-1000"/>
    <s v="250k-1m"/>
    <s v="manual-invoicing"/>
    <s v="stripe-paypal"/>
    <s v="google"/>
    <n v="58"/>
    <x v="0"/>
    <s v="512445053670"/>
    <s v="331523832506"/>
    <x v="0"/>
  </r>
  <r>
    <s v="2026-07-01 19:44:03 UTC"/>
    <s v="Sarah Chen"/>
    <x v="1"/>
    <s v="Vertex Ai"/>
    <s v="vertexai.io"/>
    <x v="1"/>
    <m/>
    <s v="201-1000"/>
    <s v="50k-250k"/>
    <s v="usage-metering"/>
    <s v="in-house"/>
    <s v="newsletter"/>
    <n v="65"/>
    <x v="0"/>
    <s v="512485412571"/>
    <s v="331570543310"/>
    <x v="1"/>
  </r>
  <r>
    <s v="2026-07-01 19:44:42 UTC"/>
    <s v="David Ross"/>
    <x v="2"/>
    <s v="Saasflow"/>
    <s v="saasflow.com"/>
    <x v="2"/>
    <m/>
    <s v="201-1000"/>
    <s v="250k-1m"/>
    <s v="usage-metering"/>
    <s v="in-house"/>
    <s v="partner"/>
    <n v="75"/>
    <x v="1"/>
    <s v="512443429591"/>
    <s v="331538333406"/>
    <x v="2"/>
  </r>
  <r>
    <s v="2026-07-01 19:45:21 UTC"/>
    <s v="Elena Rostova"/>
    <x v="3"/>
    <s v="Cybercore"/>
    <s v="cybercore.net"/>
    <x v="3"/>
    <m/>
    <s v="11-50"/>
    <s v="10m+"/>
    <s v="research"/>
    <s v="stripe-paypal"/>
    <s v="google"/>
    <n v="60"/>
    <x v="0"/>
    <s v="512455021282"/>
    <s v="331493218004"/>
    <x v="3"/>
  </r>
  <r>
    <s v="2026-07-01 19:46:15 UTC"/>
    <s v="Elena Rostova"/>
    <x v="3"/>
    <s v="Cybercore"/>
    <s v="cybercore.net"/>
    <x v="4"/>
    <m/>
    <s v="11-50"/>
    <s v="250k-1m"/>
    <s v="research"/>
    <s v="legacy-enterprise"/>
    <s v="referral"/>
    <n v="45"/>
    <x v="0"/>
    <s v="512455021282"/>
    <s v="331493218004"/>
    <x v="4"/>
  </r>
  <r>
    <s v="2026-07-01 19:46:51 UTC"/>
    <s v="Marcus Vance"/>
    <x v="4"/>
    <s v="Paybolt"/>
    <s v="paybolt.finance"/>
    <x v="1"/>
    <m/>
    <s v="51-200"/>
    <s v="1m-10m"/>
    <s v="research"/>
    <s v="legacy-enterprise"/>
    <s v="newsletter"/>
    <n v="51"/>
    <x v="0"/>
    <s v="512380178132"/>
    <s v="331547552472"/>
    <x v="5"/>
  </r>
  <r>
    <s v="2026-07-01 19:47:35 UTC"/>
    <s v="Chloe Tanaka"/>
    <x v="5"/>
    <s v="Edulearn"/>
    <s v="edulearn.co"/>
    <x v="0"/>
    <m/>
    <s v="1-10"/>
    <s v="under-50k"/>
    <s v="rev-recognition"/>
    <s v="in-house"/>
    <s v="partner"/>
    <n v="47"/>
    <x v="0"/>
    <s v="512358729408"/>
    <s v="331471749879"/>
    <x v="6"/>
  </r>
  <r>
    <s v="2026-07-01 19:48:48 UTC"/>
    <s v="Liam O'Connor"/>
    <x v="6"/>
    <s v="Streamvib"/>
    <s v="streamvibe.tv"/>
    <x v="5"/>
    <m/>
    <s v="1-10"/>
    <s v="250k-1m"/>
    <s v="usage-metering"/>
    <s v="none-manual"/>
    <s v="other"/>
    <n v="66"/>
    <x v="1"/>
    <s v="512421471982"/>
    <s v="331545854688"/>
    <x v="7"/>
  </r>
  <r>
    <s v="2026-07-01 19:49:26 UTC"/>
    <s v="Amara Okafor"/>
    <x v="7"/>
    <s v="Nexthome Iot"/>
    <s v="nexthome.io"/>
    <x v="2"/>
    <m/>
    <s v="51-200"/>
    <s v="10m+"/>
    <s v="research"/>
    <s v="stripe-paypal"/>
    <s v="linkedin"/>
    <n v="65"/>
    <x v="0"/>
    <s v="512351946474"/>
    <s v="331532925671"/>
    <x v="8"/>
  </r>
  <r>
    <s v="2026-07-01 19:50:03 UTC"/>
    <s v="Jacob Miller"/>
    <x v="8"/>
    <s v="Biotrack"/>
    <s v="biotrack.org"/>
    <x v="4"/>
    <m/>
    <s v="1000+"/>
    <s v="50k-250k"/>
    <s v="manual-invoicing"/>
    <s v="none-manual"/>
    <s v="google"/>
    <n v="62"/>
    <x v="0"/>
    <s v="512445072117"/>
    <s v="331495018176"/>
    <x v="9"/>
  </r>
  <r>
    <s v="2026-07-01 19:55:10 UTC"/>
    <s v="Pratheesh"/>
    <x v="9"/>
    <s v="Pt Soft"/>
    <s v="Personal Email"/>
    <x v="4"/>
    <m/>
    <s v="51-200"/>
    <s v="250k-1m"/>
    <s v="rev-recognition"/>
    <s v="modern-platform"/>
    <s v="partner"/>
    <n v="49"/>
    <x v="0"/>
    <s v="512387512028"/>
    <s v="331523832506"/>
    <x v="10"/>
  </r>
  <r>
    <m/>
    <m/>
    <x v="10"/>
    <m/>
    <m/>
    <x v="6"/>
    <m/>
    <m/>
    <m/>
    <m/>
    <m/>
    <m/>
    <m/>
    <x v="2"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B85E4-94D8-BD41-A8FB-5D61BDE5E113}" name="PivotTable3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9:B27" firstHeaderRow="1" firstDataRow="1" firstDataCol="1"/>
  <pivotFields count="17">
    <pivotField showAll="0"/>
    <pivotField showAll="0"/>
    <pivotField dataField="1" showAll="0">
      <items count="12">
        <item x="7"/>
        <item x="5"/>
        <item x="2"/>
        <item x="3"/>
        <item x="8"/>
        <item x="6"/>
        <item x="4"/>
        <item x="9"/>
        <item x="0"/>
        <item x="1"/>
        <item x="10"/>
        <item t="default"/>
      </items>
    </pivotField>
    <pivotField showAll="0"/>
    <pivotField showAll="0"/>
    <pivotField axis="axisRow" showAll="0">
      <items count="8">
        <item x="4"/>
        <item x="5"/>
        <item x="1"/>
        <item x="0"/>
        <item x="3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ail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0C7A3-ED1C-D34D-A583-2B7A729AAE38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9" firstHeaderRow="1" firstDataRow="1" firstDataCol="1"/>
  <pivotFields count="17"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5"/>
        <item x="1"/>
        <item x="0"/>
        <item x="3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5"/>
    </i>
    <i>
      <x v="2"/>
    </i>
    <i>
      <x v="3"/>
    </i>
    <i>
      <x v="1"/>
    </i>
    <i>
      <x v="4"/>
    </i>
    <i>
      <x v="6"/>
    </i>
    <i t="grand">
      <x/>
    </i>
  </rowItems>
  <colItems count="1">
    <i/>
  </colItems>
  <dataFields count="1">
    <dataField name="Sum of Predicted Revenue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A39C9-49E7-C344-ADA3-BDCD1BA37FD5}" name="PivotTable4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8:B26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1"/>
        <item x="0"/>
        <item x="3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4"/>
        <item x="0"/>
        <item x="5"/>
        <item x="9"/>
        <item x="6"/>
        <item x="3"/>
        <item x="10"/>
        <item x="8"/>
        <item x="1"/>
        <item x="7"/>
        <item x="2"/>
        <item x="11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edicted Revenue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4E3A-0D95-2C47-976C-C7602BDEBA3B}" name="PivotTable2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5" firstHeaderRow="1" firstDataRow="1" firstDataCol="1"/>
  <pivotFields count="17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ail" fld="2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3">
  <autoFilter ref="A1:Q13" xr:uid="{00000000-0009-0000-0100-000001000000}"/>
  <tableColumns count="17">
    <tableColumn id="1" xr3:uid="{00000000-0010-0000-0000-000001000000}" name="Timestamp"/>
    <tableColumn id="2" xr3:uid="{00000000-0010-0000-0000-000002000000}" name="Name"/>
    <tableColumn id="3" xr3:uid="{00000000-0010-0000-0000-000003000000}" name="Email"/>
    <tableColumn id="4" xr3:uid="{00000000-0010-0000-0000-000004000000}" name="Company Name"/>
    <tableColumn id="5" xr3:uid="{00000000-0010-0000-0000-000005000000}" name="Company Domain"/>
    <tableColumn id="6" xr3:uid="{00000000-0010-0000-0000-000006000000}" name="Industry"/>
    <tableColumn id="7" xr3:uid="{00000000-0010-0000-0000-000007000000}" name="Industry Other"/>
    <tableColumn id="8" xr3:uid="{00000000-0010-0000-0000-000008000000}" name="Company Size"/>
    <tableColumn id="9" xr3:uid="{00000000-0010-0000-0000-000009000000}" name="Monthly Transaction Volume"/>
    <tableColumn id="10" xr3:uid="{00000000-0010-0000-0000-00000A000000}" name="Primary Revenue Challenge"/>
    <tableColumn id="11" xr3:uid="{00000000-0010-0000-0000-00000B000000}" name="Current Billing Solution"/>
    <tableColumn id="12" xr3:uid="{00000000-0010-0000-0000-00000C000000}" name="Heard From"/>
    <tableColumn id="13" xr3:uid="{00000000-0010-0000-0000-00000D000000}" name="Lead Score"/>
    <tableColumn id="14" xr3:uid="{00000000-0010-0000-0000-00000E000000}" name="Lead Tier"/>
    <tableColumn id="15" xr3:uid="{00000000-0010-0000-0000-00000F000000}" name="HubSpot Contact ID"/>
    <tableColumn id="16" xr3:uid="{00000000-0010-0000-0000-000010000000}" name="HubSpot Company ID"/>
    <tableColumn id="17" xr3:uid="{00000000-0010-0000-0000-000011000000}" name="Predicted 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095E-1510-DB4B-9C53-6751108B3761}">
  <dimension ref="A1:B27"/>
  <sheetViews>
    <sheetView showGridLines="0" workbookViewId="0">
      <selection activeCell="J22" sqref="J22"/>
    </sheetView>
  </sheetViews>
  <sheetFormatPr baseColWidth="10" defaultRowHeight="15" x14ac:dyDescent="0.2"/>
  <cols>
    <col min="1" max="1" width="12.1640625" bestFit="1" customWidth="1"/>
    <col min="2" max="2" width="21.83203125" bestFit="1" customWidth="1"/>
  </cols>
  <sheetData>
    <row r="1" spans="1:2" x14ac:dyDescent="0.2">
      <c r="A1" s="1" t="s">
        <v>119</v>
      </c>
      <c r="B1" t="s">
        <v>121</v>
      </c>
    </row>
    <row r="2" spans="1:2" x14ac:dyDescent="0.2">
      <c r="A2" s="2" t="s">
        <v>65</v>
      </c>
      <c r="B2" s="3">
        <v>487959.43000000005</v>
      </c>
    </row>
    <row r="3" spans="1:2" x14ac:dyDescent="0.2">
      <c r="A3" s="2" t="s">
        <v>48</v>
      </c>
      <c r="B3" s="3">
        <v>465304.23</v>
      </c>
    </row>
    <row r="4" spans="1:2" x14ac:dyDescent="0.2">
      <c r="A4" s="2" t="s">
        <v>36</v>
      </c>
      <c r="B4" s="3">
        <v>384873.06999999995</v>
      </c>
    </row>
    <row r="5" spans="1:2" x14ac:dyDescent="0.2">
      <c r="A5" s="2" t="s">
        <v>22</v>
      </c>
      <c r="B5" s="3">
        <v>333160.34999999998</v>
      </c>
    </row>
    <row r="6" spans="1:2" x14ac:dyDescent="0.2">
      <c r="A6" s="2" t="s">
        <v>92</v>
      </c>
      <c r="B6" s="3">
        <v>238010.85</v>
      </c>
    </row>
    <row r="7" spans="1:2" x14ac:dyDescent="0.2">
      <c r="A7" s="2" t="s">
        <v>58</v>
      </c>
      <c r="B7" s="3">
        <v>184046.07</v>
      </c>
    </row>
    <row r="8" spans="1:2" x14ac:dyDescent="0.2">
      <c r="A8" s="2" t="s">
        <v>124</v>
      </c>
      <c r="B8" s="3"/>
    </row>
    <row r="9" spans="1:2" x14ac:dyDescent="0.2">
      <c r="A9" s="2" t="s">
        <v>120</v>
      </c>
      <c r="B9" s="3">
        <v>2093354.0000000002</v>
      </c>
    </row>
    <row r="19" spans="1:2" x14ac:dyDescent="0.2">
      <c r="A19" s="1" t="s">
        <v>119</v>
      </c>
      <c r="B19" t="s">
        <v>122</v>
      </c>
    </row>
    <row r="20" spans="1:2" x14ac:dyDescent="0.2">
      <c r="A20" s="2" t="s">
        <v>65</v>
      </c>
      <c r="B20" s="3">
        <v>3</v>
      </c>
    </row>
    <row r="21" spans="1:2" x14ac:dyDescent="0.2">
      <c r="A21" s="2" t="s">
        <v>92</v>
      </c>
      <c r="B21" s="3">
        <v>1</v>
      </c>
    </row>
    <row r="22" spans="1:2" x14ac:dyDescent="0.2">
      <c r="A22" s="2" t="s">
        <v>36</v>
      </c>
      <c r="B22" s="3">
        <v>2</v>
      </c>
    </row>
    <row r="23" spans="1:2" x14ac:dyDescent="0.2">
      <c r="A23" s="2" t="s">
        <v>22</v>
      </c>
      <c r="B23" s="3">
        <v>2</v>
      </c>
    </row>
    <row r="24" spans="1:2" x14ac:dyDescent="0.2">
      <c r="A24" s="2" t="s">
        <v>58</v>
      </c>
      <c r="B24" s="3">
        <v>1</v>
      </c>
    </row>
    <row r="25" spans="1:2" x14ac:dyDescent="0.2">
      <c r="A25" s="2" t="s">
        <v>48</v>
      </c>
      <c r="B25" s="3">
        <v>2</v>
      </c>
    </row>
    <row r="26" spans="1:2" x14ac:dyDescent="0.2">
      <c r="A26" s="2" t="s">
        <v>124</v>
      </c>
      <c r="B26" s="3"/>
    </row>
    <row r="27" spans="1:2" x14ac:dyDescent="0.2">
      <c r="A27" s="2" t="s">
        <v>120</v>
      </c>
      <c r="B27" s="3">
        <v>11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70D8-AA91-EF4F-B242-BFCE0A433ACD}">
  <dimension ref="A1:B26"/>
  <sheetViews>
    <sheetView showGridLines="0" tabSelected="1" workbookViewId="0">
      <selection activeCell="N19" sqref="N19"/>
    </sheetView>
  </sheetViews>
  <sheetFormatPr baseColWidth="10" defaultRowHeight="15" x14ac:dyDescent="0.2"/>
  <cols>
    <col min="1" max="1" width="12.1640625" bestFit="1" customWidth="1"/>
    <col min="2" max="2" width="21.83203125" bestFit="1" customWidth="1"/>
  </cols>
  <sheetData>
    <row r="1" spans="1:2" x14ac:dyDescent="0.2">
      <c r="A1" s="1" t="s">
        <v>119</v>
      </c>
      <c r="B1" t="s">
        <v>122</v>
      </c>
    </row>
    <row r="2" spans="1:2" x14ac:dyDescent="0.2">
      <c r="A2" s="2" t="s">
        <v>50</v>
      </c>
      <c r="B2" s="3">
        <v>2</v>
      </c>
    </row>
    <row r="3" spans="1:2" x14ac:dyDescent="0.2">
      <c r="A3" s="2" t="s">
        <v>28</v>
      </c>
      <c r="B3" s="3">
        <v>9</v>
      </c>
    </row>
    <row r="4" spans="1:2" x14ac:dyDescent="0.2">
      <c r="A4" s="2" t="s">
        <v>123</v>
      </c>
      <c r="B4" s="3"/>
    </row>
    <row r="5" spans="1:2" x14ac:dyDescent="0.2">
      <c r="A5" s="2" t="s">
        <v>120</v>
      </c>
      <c r="B5" s="3">
        <v>11</v>
      </c>
    </row>
    <row r="18" spans="1:2" x14ac:dyDescent="0.2">
      <c r="A18" s="1" t="s">
        <v>119</v>
      </c>
      <c r="B18" t="s">
        <v>121</v>
      </c>
    </row>
    <row r="19" spans="1:2" x14ac:dyDescent="0.2">
      <c r="A19" s="2" t="s">
        <v>65</v>
      </c>
      <c r="B19" s="3">
        <v>487959.43000000005</v>
      </c>
    </row>
    <row r="20" spans="1:2" x14ac:dyDescent="0.2">
      <c r="A20" s="2" t="s">
        <v>92</v>
      </c>
      <c r="B20" s="3">
        <v>238010.85</v>
      </c>
    </row>
    <row r="21" spans="1:2" x14ac:dyDescent="0.2">
      <c r="A21" s="2" t="s">
        <v>36</v>
      </c>
      <c r="B21" s="3">
        <v>384873.06999999995</v>
      </c>
    </row>
    <row r="22" spans="1:2" x14ac:dyDescent="0.2">
      <c r="A22" s="2" t="s">
        <v>22</v>
      </c>
      <c r="B22" s="3">
        <v>333160.34999999998</v>
      </c>
    </row>
    <row r="23" spans="1:2" x14ac:dyDescent="0.2">
      <c r="A23" s="2" t="s">
        <v>58</v>
      </c>
      <c r="B23" s="3">
        <v>184046.07</v>
      </c>
    </row>
    <row r="24" spans="1:2" x14ac:dyDescent="0.2">
      <c r="A24" s="2" t="s">
        <v>48</v>
      </c>
      <c r="B24" s="3">
        <v>465304.23</v>
      </c>
    </row>
    <row r="25" spans="1:2" x14ac:dyDescent="0.2">
      <c r="A25" s="2" t="s">
        <v>124</v>
      </c>
      <c r="B25" s="3"/>
    </row>
    <row r="26" spans="1:2" x14ac:dyDescent="0.2">
      <c r="A26" s="2" t="s">
        <v>120</v>
      </c>
      <c r="B26" s="3">
        <v>2093354.0000000002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opLeftCell="D1" workbookViewId="0">
      <selection activeCell="F10" sqref="F10"/>
    </sheetView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58</v>
      </c>
      <c r="N2" t="s">
        <v>28</v>
      </c>
      <c r="O2" t="s">
        <v>29</v>
      </c>
      <c r="P2" t="s">
        <v>30</v>
      </c>
      <c r="Q2">
        <v>152837.29999999999</v>
      </c>
    </row>
    <row r="3" spans="1:17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H3" t="s">
        <v>23</v>
      </c>
      <c r="I3" t="s">
        <v>37</v>
      </c>
      <c r="J3" t="s">
        <v>38</v>
      </c>
      <c r="K3" t="s">
        <v>39</v>
      </c>
      <c r="L3" t="s">
        <v>40</v>
      </c>
      <c r="M3">
        <v>65</v>
      </c>
      <c r="N3" t="s">
        <v>28</v>
      </c>
      <c r="O3" t="s">
        <v>41</v>
      </c>
      <c r="P3" t="s">
        <v>42</v>
      </c>
      <c r="Q3">
        <v>227257.99</v>
      </c>
    </row>
    <row r="4" spans="1:17" x14ac:dyDescent="0.2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H4" t="s">
        <v>23</v>
      </c>
      <c r="I4" t="s">
        <v>24</v>
      </c>
      <c r="J4" t="s">
        <v>38</v>
      </c>
      <c r="K4" t="s">
        <v>39</v>
      </c>
      <c r="L4" t="s">
        <v>49</v>
      </c>
      <c r="M4">
        <v>75</v>
      </c>
      <c r="N4" t="s">
        <v>50</v>
      </c>
      <c r="O4" t="s">
        <v>51</v>
      </c>
      <c r="P4" t="s">
        <v>52</v>
      </c>
      <c r="Q4">
        <v>271457.61</v>
      </c>
    </row>
    <row r="5" spans="1:17" x14ac:dyDescent="0.2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H5" t="s">
        <v>59</v>
      </c>
      <c r="I5" t="s">
        <v>60</v>
      </c>
      <c r="J5" t="s">
        <v>61</v>
      </c>
      <c r="K5" t="s">
        <v>26</v>
      </c>
      <c r="L5" t="s">
        <v>27</v>
      </c>
      <c r="M5">
        <v>60</v>
      </c>
      <c r="N5" t="s">
        <v>28</v>
      </c>
      <c r="O5" t="s">
        <v>62</v>
      </c>
      <c r="P5" t="s">
        <v>63</v>
      </c>
      <c r="Q5">
        <v>184046.07</v>
      </c>
    </row>
    <row r="6" spans="1:17" x14ac:dyDescent="0.2">
      <c r="A6" t="s">
        <v>64</v>
      </c>
      <c r="B6" t="s">
        <v>54</v>
      </c>
      <c r="C6" t="s">
        <v>55</v>
      </c>
      <c r="D6" t="s">
        <v>56</v>
      </c>
      <c r="E6" t="s">
        <v>57</v>
      </c>
      <c r="F6" t="s">
        <v>65</v>
      </c>
      <c r="H6" t="s">
        <v>59</v>
      </c>
      <c r="I6" t="s">
        <v>24</v>
      </c>
      <c r="J6" t="s">
        <v>61</v>
      </c>
      <c r="K6" t="s">
        <v>66</v>
      </c>
      <c r="L6" t="s">
        <v>67</v>
      </c>
      <c r="M6">
        <v>45</v>
      </c>
      <c r="N6" t="s">
        <v>28</v>
      </c>
      <c r="O6" t="s">
        <v>62</v>
      </c>
      <c r="P6" t="s">
        <v>63</v>
      </c>
      <c r="Q6">
        <v>126484.07</v>
      </c>
    </row>
    <row r="7" spans="1:17" x14ac:dyDescent="0.2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36</v>
      </c>
      <c r="H7" t="s">
        <v>73</v>
      </c>
      <c r="I7" t="s">
        <v>74</v>
      </c>
      <c r="J7" t="s">
        <v>61</v>
      </c>
      <c r="K7" t="s">
        <v>66</v>
      </c>
      <c r="L7" t="s">
        <v>40</v>
      </c>
      <c r="M7">
        <v>51</v>
      </c>
      <c r="N7" t="s">
        <v>28</v>
      </c>
      <c r="O7" t="s">
        <v>75</v>
      </c>
      <c r="P7" t="s">
        <v>76</v>
      </c>
      <c r="Q7">
        <v>157615.07999999999</v>
      </c>
    </row>
    <row r="8" spans="1:17" x14ac:dyDescent="0.2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22</v>
      </c>
      <c r="H8" t="s">
        <v>82</v>
      </c>
      <c r="I8" t="s">
        <v>83</v>
      </c>
      <c r="J8" t="s">
        <v>84</v>
      </c>
      <c r="K8" t="s">
        <v>39</v>
      </c>
      <c r="L8" t="s">
        <v>49</v>
      </c>
      <c r="M8">
        <v>47</v>
      </c>
      <c r="N8" t="s">
        <v>28</v>
      </c>
      <c r="O8" t="s">
        <v>85</v>
      </c>
      <c r="P8" t="s">
        <v>86</v>
      </c>
      <c r="Q8">
        <v>180323.05</v>
      </c>
    </row>
    <row r="9" spans="1:17" x14ac:dyDescent="0.2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H9" t="s">
        <v>82</v>
      </c>
      <c r="I9" t="s">
        <v>24</v>
      </c>
      <c r="J9" t="s">
        <v>38</v>
      </c>
      <c r="K9" t="s">
        <v>93</v>
      </c>
      <c r="L9" t="s">
        <v>94</v>
      </c>
      <c r="M9">
        <v>66</v>
      </c>
      <c r="N9" t="s">
        <v>50</v>
      </c>
      <c r="O9" t="s">
        <v>95</v>
      </c>
      <c r="P9" t="s">
        <v>96</v>
      </c>
      <c r="Q9">
        <v>238010.85</v>
      </c>
    </row>
    <row r="10" spans="1:17" x14ac:dyDescent="0.2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48</v>
      </c>
      <c r="H10" t="s">
        <v>73</v>
      </c>
      <c r="I10" t="s">
        <v>60</v>
      </c>
      <c r="J10" t="s">
        <v>61</v>
      </c>
      <c r="K10" t="s">
        <v>26</v>
      </c>
      <c r="L10" t="s">
        <v>102</v>
      </c>
      <c r="M10">
        <v>65</v>
      </c>
      <c r="N10" t="s">
        <v>28</v>
      </c>
      <c r="O10" t="s">
        <v>103</v>
      </c>
      <c r="P10" t="s">
        <v>104</v>
      </c>
      <c r="Q10">
        <v>193846.62</v>
      </c>
    </row>
    <row r="11" spans="1:17" x14ac:dyDescent="0.2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65</v>
      </c>
      <c r="H11" t="s">
        <v>110</v>
      </c>
      <c r="I11" t="s">
        <v>37</v>
      </c>
      <c r="J11" t="s">
        <v>25</v>
      </c>
      <c r="K11" t="s">
        <v>93</v>
      </c>
      <c r="L11" t="s">
        <v>27</v>
      </c>
      <c r="M11">
        <v>62</v>
      </c>
      <c r="N11" t="s">
        <v>28</v>
      </c>
      <c r="O11" t="s">
        <v>111</v>
      </c>
      <c r="P11" t="s">
        <v>112</v>
      </c>
      <c r="Q11">
        <v>171892.2</v>
      </c>
    </row>
    <row r="12" spans="1:17" x14ac:dyDescent="0.2">
      <c r="A12" t="s">
        <v>113</v>
      </c>
      <c r="B12" t="s">
        <v>114</v>
      </c>
      <c r="C12" t="s">
        <v>115</v>
      </c>
      <c r="D12" t="s">
        <v>116</v>
      </c>
      <c r="E12" t="s">
        <v>21</v>
      </c>
      <c r="F12" t="s">
        <v>65</v>
      </c>
      <c r="H12" t="s">
        <v>73</v>
      </c>
      <c r="I12" t="s">
        <v>24</v>
      </c>
      <c r="J12" t="s">
        <v>84</v>
      </c>
      <c r="K12" t="s">
        <v>117</v>
      </c>
      <c r="L12" t="s">
        <v>49</v>
      </c>
      <c r="M12">
        <v>49</v>
      </c>
      <c r="N12" t="s">
        <v>28</v>
      </c>
      <c r="O12" t="s">
        <v>118</v>
      </c>
      <c r="P12" t="s">
        <v>30</v>
      </c>
      <c r="Q12">
        <v>189583.16</v>
      </c>
    </row>
    <row r="13" spans="1:17" x14ac:dyDescent="0.2">
      <c r="N13" t="s">
        <v>123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Distribution</vt:lpstr>
      <vt:lpstr>Lead Distribution</vt:lpstr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2026-07-01T19:13:10Z</dcterms:created>
  <dcterms:modified xsi:type="dcterms:W3CDTF">2026-07-01T20:55:08Z</dcterms:modified>
</cp:coreProperties>
</file>